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lContreras\source\repos\Avantick-Desktop\docs\"/>
    </mc:Choice>
  </mc:AlternateContent>
  <xr:revisionPtr revIDLastSave="0" documentId="13_ncr:1_{5A322459-CFFF-42ED-B537-D52FDE3BFEAF}" xr6:coauthVersionLast="47" xr6:coauthVersionMax="47" xr10:uidLastSave="{00000000-0000-0000-0000-000000000000}"/>
  <bookViews>
    <workbookView xWindow="19090" yWindow="-110" windowWidth="19420" windowHeight="10300" xr2:uid="{63CE24E4-E06A-44CE-B7F0-F75E5DF129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L14" i="1"/>
  <c r="K13" i="1"/>
  <c r="I13" i="1"/>
  <c r="G13" i="1"/>
  <c r="E13" i="1"/>
  <c r="C13" i="1"/>
  <c r="K12" i="1"/>
  <c r="J12" i="1"/>
  <c r="I12" i="1"/>
  <c r="H12" i="1"/>
  <c r="G12" i="1"/>
  <c r="F12" i="1"/>
  <c r="E12" i="1"/>
  <c r="D12" i="1"/>
  <c r="C12" i="1"/>
  <c r="B12" i="1"/>
  <c r="L12" i="1" s="1"/>
  <c r="N5" i="1"/>
  <c r="M5" i="1"/>
  <c r="L5" i="1"/>
  <c r="K4" i="1"/>
  <c r="I4" i="1"/>
  <c r="G4" i="1"/>
  <c r="E4" i="1"/>
  <c r="C4" i="1"/>
  <c r="K3" i="1"/>
  <c r="J3" i="1"/>
  <c r="I3" i="1"/>
  <c r="H3" i="1"/>
  <c r="G3" i="1"/>
  <c r="F3" i="1"/>
  <c r="E3" i="1"/>
  <c r="D3" i="1"/>
  <c r="C3" i="1"/>
  <c r="B3" i="1"/>
  <c r="A8" i="1" l="1"/>
  <c r="L3" i="1"/>
</calcChain>
</file>

<file path=xl/sharedStrings.xml><?xml version="1.0" encoding="utf-8"?>
<sst xmlns="http://schemas.openxmlformats.org/spreadsheetml/2006/main" count="17" uniqueCount="17">
  <si>
    <t>Tarjeta</t>
  </si>
  <si>
    <t>Digito 1</t>
  </si>
  <si>
    <t>Digito 2</t>
  </si>
  <si>
    <t>Digito 3</t>
  </si>
  <si>
    <t>Digito 4</t>
  </si>
  <si>
    <t>Digito 5</t>
  </si>
  <si>
    <t>Digito 6</t>
  </si>
  <si>
    <t>Digito 7</t>
  </si>
  <si>
    <t>Digito 8</t>
  </si>
  <si>
    <t>Digito 9</t>
  </si>
  <si>
    <t>Digito 10</t>
  </si>
  <si>
    <t>Sumatoria</t>
  </si>
  <si>
    <t>Saca los pares y Sumo digitos…</t>
  </si>
  <si>
    <t>Digito Verificador</t>
  </si>
  <si>
    <t>Digito Final</t>
  </si>
  <si>
    <t>Final</t>
  </si>
  <si>
    <t>https://es.wikipedia.org/wiki/Algoritmo_de_Luhn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</si>
</sst>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1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wikipedia.org/wiki/Algoritmo_de_Lu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4D2D-BBF4-481F-8966-F92D055688C2}">
  <dimension ref="A1:N16"/>
  <sheetViews>
    <sheetView tabSelected="1" workbookViewId="0">
      <selection activeCell="A16" sqref="A16"/>
    </sheetView>
  </sheetViews>
  <sheetFormatPr baseColWidth="10" defaultRowHeight="14.5" x14ac:dyDescent="0.35"/>
  <cols>
    <col min="1" max="1" width="33.08984375" customWidth="1"/>
    <col min="13" max="13" width="14" customWidth="1"/>
  </cols>
  <sheetData>
    <row r="1" spans="1:14" x14ac:dyDescent="0.35">
      <c r="A1" s="5" t="s">
        <v>16</v>
      </c>
    </row>
    <row r="2" spans="1:14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 t="s">
        <v>11</v>
      </c>
      <c r="M2" s="2" t="s">
        <v>13</v>
      </c>
      <c r="N2" s="1" t="s">
        <v>14</v>
      </c>
    </row>
    <row r="3" spans="1:14" x14ac:dyDescent="0.35">
      <c r="A3">
        <v>7992739871</v>
      </c>
      <c r="B3" s="4">
        <f>VALUE(MID($A3,1,1))</f>
        <v>7</v>
      </c>
      <c r="C3" s="4">
        <f>VALUE(MID($A3,2,1))</f>
        <v>9</v>
      </c>
      <c r="D3" s="4">
        <f>VALUE(MID($A3,3,1))</f>
        <v>9</v>
      </c>
      <c r="E3" s="4">
        <f>VALUE(MID($A3,4,1))</f>
        <v>2</v>
      </c>
      <c r="F3" s="4">
        <f>VALUE(MID($A3,5,1))</f>
        <v>7</v>
      </c>
      <c r="G3" s="4">
        <f>VALUE(MID($A3,6,1))</f>
        <v>3</v>
      </c>
      <c r="H3" s="4">
        <f>VALUE(MID($A3,7,1))</f>
        <v>9</v>
      </c>
      <c r="I3" s="4">
        <f>VALUE(MID($A3,8,1))</f>
        <v>8</v>
      </c>
      <c r="J3" s="4">
        <f>VALUE(MID($A3,9,1))</f>
        <v>7</v>
      </c>
      <c r="K3" s="4">
        <f>VALUE(MID($A3,10,1))</f>
        <v>1</v>
      </c>
      <c r="L3">
        <f>SUM(B3:K3)</f>
        <v>62</v>
      </c>
    </row>
    <row r="4" spans="1:14" x14ac:dyDescent="0.35">
      <c r="A4" t="s">
        <v>12</v>
      </c>
      <c r="B4" s="3"/>
      <c r="C4" s="3">
        <f>C3*2</f>
        <v>18</v>
      </c>
      <c r="D4" s="3"/>
      <c r="E4" s="3">
        <f>E3*2</f>
        <v>4</v>
      </c>
      <c r="F4" s="3"/>
      <c r="G4" s="3">
        <f>G3*2</f>
        <v>6</v>
      </c>
      <c r="H4" s="3"/>
      <c r="I4" s="3">
        <f>I3*2</f>
        <v>16</v>
      </c>
      <c r="J4" s="3"/>
      <c r="K4" s="3">
        <f>K3*2</f>
        <v>2</v>
      </c>
      <c r="L4" s="3"/>
    </row>
    <row r="5" spans="1:14" x14ac:dyDescent="0.35">
      <c r="B5" s="4">
        <v>7</v>
      </c>
      <c r="C5">
        <v>9</v>
      </c>
      <c r="D5" s="4">
        <v>9</v>
      </c>
      <c r="E5">
        <v>4</v>
      </c>
      <c r="F5" s="4">
        <v>7</v>
      </c>
      <c r="G5">
        <v>6</v>
      </c>
      <c r="H5" s="4">
        <v>9</v>
      </c>
      <c r="I5">
        <v>7</v>
      </c>
      <c r="J5" s="4">
        <v>7</v>
      </c>
      <c r="K5">
        <v>2</v>
      </c>
      <c r="L5" s="4">
        <f>SUM(B5:K5)</f>
        <v>67</v>
      </c>
      <c r="M5">
        <f>L5*9</f>
        <v>603</v>
      </c>
      <c r="N5">
        <f>VALUE(RIGHT(M5,1))</f>
        <v>3</v>
      </c>
    </row>
    <row r="7" spans="1:14" x14ac:dyDescent="0.35">
      <c r="A7" t="s">
        <v>15</v>
      </c>
    </row>
    <row r="8" spans="1:14" x14ac:dyDescent="0.35">
      <c r="A8" t="str">
        <f>CONCATENATE(A3,N5)</f>
        <v>79927398713</v>
      </c>
    </row>
    <row r="11" spans="1:14" x14ac:dyDescent="0.3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2"/>
      <c r="N11" s="1"/>
    </row>
    <row r="12" spans="1:14" x14ac:dyDescent="0.35">
      <c r="A12">
        <v>6287366311</v>
      </c>
      <c r="B12" s="4">
        <f>VALUE(MID($A12,1,1))</f>
        <v>6</v>
      </c>
      <c r="C12" s="4">
        <f>VALUE(MID($A12,2,1))</f>
        <v>2</v>
      </c>
      <c r="D12" s="4">
        <f>VALUE(MID($A12,3,1))</f>
        <v>8</v>
      </c>
      <c r="E12" s="4">
        <f>VALUE(MID($A12,4,1))</f>
        <v>7</v>
      </c>
      <c r="F12" s="4">
        <f>VALUE(MID($A12,5,1))</f>
        <v>3</v>
      </c>
      <c r="G12" s="4">
        <f>VALUE(MID($A12,6,1))</f>
        <v>6</v>
      </c>
      <c r="H12" s="4">
        <f>VALUE(MID($A12,7,1))</f>
        <v>6</v>
      </c>
      <c r="I12" s="4">
        <f>VALUE(MID($A12,8,1))</f>
        <v>3</v>
      </c>
      <c r="J12" s="4">
        <f>VALUE(MID($A12,9,1))</f>
        <v>1</v>
      </c>
      <c r="K12" s="4">
        <f>VALUE(MID($A12,10,1))</f>
        <v>1</v>
      </c>
      <c r="L12">
        <f>SUM(B12:K12)</f>
        <v>43</v>
      </c>
    </row>
    <row r="13" spans="1:14" x14ac:dyDescent="0.35">
      <c r="B13" s="3"/>
      <c r="C13" s="3">
        <f>C12*2</f>
        <v>4</v>
      </c>
      <c r="D13" s="3"/>
      <c r="E13" s="3">
        <f>E12*2</f>
        <v>14</v>
      </c>
      <c r="F13" s="3"/>
      <c r="G13" s="3">
        <f>G12*2</f>
        <v>12</v>
      </c>
      <c r="H13" s="3"/>
      <c r="I13" s="3">
        <f>I12*2</f>
        <v>6</v>
      </c>
      <c r="J13" s="3"/>
      <c r="K13" s="3">
        <f>K12*2</f>
        <v>2</v>
      </c>
      <c r="L13" s="3"/>
    </row>
    <row r="14" spans="1:14" x14ac:dyDescent="0.35">
      <c r="B14" s="4">
        <v>6</v>
      </c>
      <c r="C14">
        <v>4</v>
      </c>
      <c r="D14" s="4">
        <v>8</v>
      </c>
      <c r="E14">
        <v>5</v>
      </c>
      <c r="F14" s="4">
        <v>3</v>
      </c>
      <c r="G14">
        <v>3</v>
      </c>
      <c r="H14" s="4">
        <v>6</v>
      </c>
      <c r="I14">
        <v>6</v>
      </c>
      <c r="J14" s="4">
        <v>1</v>
      </c>
      <c r="K14">
        <v>2</v>
      </c>
      <c r="L14" s="4">
        <f>SUM(B14:K14)</f>
        <v>44</v>
      </c>
      <c r="M14">
        <f>L14*9</f>
        <v>396</v>
      </c>
      <c r="N14" s="4">
        <v>6</v>
      </c>
    </row>
    <row r="16" spans="1:14" x14ac:dyDescent="0.35">
      <c r="A16">
        <v>62873663116</v>
      </c>
    </row>
  </sheetData>
  <phoneticPr fontId="2" type="noConversion"/>
  <hyperlinks>
    <hyperlink ref="A1" r:id="rId1" xr:uid="{FD577290-111F-447E-BD79-A7A59AE03B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Contreras</dc:creator>
  <cp:lastModifiedBy>Israel Contreras</cp:lastModifiedBy>
  <dcterms:created xsi:type="dcterms:W3CDTF">2025-11-10T18:02:11Z</dcterms:created>
  <dcterms:modified xsi:type="dcterms:W3CDTF">2025-11-10T20:35:48Z</dcterms:modified>
</cp:coreProperties>
</file>